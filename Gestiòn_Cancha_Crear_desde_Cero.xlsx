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f34ced09d31df6/Desktop/proyectos/udemy_proyectos/"/>
    </mc:Choice>
  </mc:AlternateContent>
  <xr:revisionPtr revIDLastSave="639" documentId="13_ncr:1_{CE924282-DFED-47CE-B296-5A4510F182D8}" xr6:coauthVersionLast="47" xr6:coauthVersionMax="47" xr10:uidLastSave="{1020BBD6-5003-4165-90AD-633642C209EA}"/>
  <bookViews>
    <workbookView xWindow="-108" yWindow="-108" windowWidth="23256" windowHeight="12456" activeTab="1" xr2:uid="{0BF097C5-080B-4589-B22F-6E3EADC05A76}"/>
  </bookViews>
  <sheets>
    <sheet name="Resumen" sheetId="3" r:id="rId1"/>
    <sheet name="INGRESOS" sheetId="4" r:id="rId2"/>
    <sheet name="Lista de Preci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3" i="3" l="1"/>
  <c r="B19" i="3"/>
  <c r="J22" i="4"/>
  <c r="C13" i="3" s="1"/>
  <c r="J14" i="3"/>
  <c r="C15" i="3"/>
  <c r="C14" i="3"/>
  <c r="H11" i="3"/>
  <c r="F11" i="3"/>
  <c r="D11" i="3"/>
  <c r="I14" i="4"/>
  <c r="J14" i="4"/>
  <c r="K14" i="4"/>
  <c r="L14" i="4"/>
  <c r="R10" i="4"/>
  <c r="R12" i="4"/>
  <c r="Q8" i="4"/>
  <c r="Q9" i="4"/>
  <c r="E11" i="3" s="1"/>
  <c r="Q10" i="4"/>
  <c r="Q11" i="4"/>
  <c r="G11" i="3" s="1"/>
  <c r="Q12" i="4"/>
  <c r="Q13" i="4"/>
  <c r="I11" i="3" s="1"/>
  <c r="Q7" i="4"/>
  <c r="C11" i="3" s="1"/>
  <c r="I10" i="3"/>
  <c r="H10" i="3"/>
  <c r="G10" i="3"/>
  <c r="F10" i="3"/>
  <c r="E10" i="3"/>
  <c r="D10" i="3"/>
  <c r="C10" i="3"/>
  <c r="I9" i="3"/>
  <c r="H9" i="3"/>
  <c r="G9" i="3"/>
  <c r="F9" i="3"/>
  <c r="E9" i="3"/>
  <c r="D9" i="3"/>
  <c r="C9" i="3"/>
  <c r="J16" i="3" l="1"/>
  <c r="P8" i="4"/>
  <c r="P9" i="4"/>
  <c r="P10" i="4"/>
  <c r="P11" i="4"/>
  <c r="P12" i="4"/>
  <c r="P13" i="4"/>
  <c r="P7" i="4"/>
  <c r="O8" i="4"/>
  <c r="R8" i="4" s="1"/>
  <c r="O9" i="4"/>
  <c r="O10" i="4"/>
  <c r="O11" i="4"/>
  <c r="O12" i="4"/>
  <c r="O13" i="4"/>
  <c r="O7" i="4"/>
  <c r="I8" i="3"/>
  <c r="D8" i="3"/>
  <c r="N8" i="4"/>
  <c r="N9" i="4"/>
  <c r="E8" i="3" s="1"/>
  <c r="N10" i="4"/>
  <c r="F8" i="3" s="1"/>
  <c r="N11" i="4"/>
  <c r="G8" i="3" s="1"/>
  <c r="N12" i="4"/>
  <c r="H8" i="3" s="1"/>
  <c r="N13" i="4"/>
  <c r="N14" i="4" s="1"/>
  <c r="J8" i="3" s="1"/>
  <c r="N7" i="4"/>
  <c r="C8" i="3" s="1"/>
  <c r="M7" i="4"/>
  <c r="I7" i="3"/>
  <c r="H7" i="3"/>
  <c r="G7" i="3"/>
  <c r="F7" i="3"/>
  <c r="D7" i="3"/>
  <c r="C7" i="3"/>
  <c r="J5" i="3"/>
  <c r="C5" i="3"/>
  <c r="M8" i="4"/>
  <c r="M11" i="4"/>
  <c r="M12" i="4"/>
  <c r="M13" i="4"/>
  <c r="L8" i="4"/>
  <c r="L10" i="4"/>
  <c r="L11" i="4"/>
  <c r="L12" i="4"/>
  <c r="L13" i="4"/>
  <c r="K8" i="4"/>
  <c r="K10" i="4"/>
  <c r="M10" i="4" s="1"/>
  <c r="K11" i="4"/>
  <c r="K12" i="4"/>
  <c r="K13" i="4"/>
  <c r="I8" i="4"/>
  <c r="J8" i="4" s="1"/>
  <c r="I9" i="4"/>
  <c r="J9" i="4" s="1"/>
  <c r="K9" i="4" s="1"/>
  <c r="I10" i="4"/>
  <c r="J10" i="4" s="1"/>
  <c r="I11" i="4"/>
  <c r="J11" i="4" s="1"/>
  <c r="I12" i="4"/>
  <c r="J12" i="4" s="1"/>
  <c r="I13" i="4"/>
  <c r="J13" i="4" s="1"/>
  <c r="J7" i="4"/>
  <c r="K7" i="4" s="1"/>
  <c r="R13" i="4" l="1"/>
  <c r="R11" i="4"/>
  <c r="R7" i="4"/>
  <c r="O14" i="4"/>
  <c r="J9" i="3" s="1"/>
  <c r="P14" i="4"/>
  <c r="J10" i="3" s="1"/>
  <c r="E7" i="3"/>
  <c r="L9" i="4"/>
  <c r="M9" i="4" s="1"/>
  <c r="L7" i="4"/>
  <c r="M14" i="4" l="1"/>
  <c r="J7" i="3" s="1"/>
  <c r="R9" i="4"/>
  <c r="R14" i="4" s="1"/>
  <c r="J11" i="3" s="1"/>
  <c r="J12" i="3" l="1"/>
  <c r="B26" i="3" s="1"/>
</calcChain>
</file>

<file path=xl/sharedStrings.xml><?xml version="1.0" encoding="utf-8"?>
<sst xmlns="http://schemas.openxmlformats.org/spreadsheetml/2006/main" count="99" uniqueCount="77">
  <si>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</si>
  <si>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</si>
  <si>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</si>
  <si>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</si>
  <si>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</si>
  <si>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</si>
  <si>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</si>
  <si>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</si>
  <si>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</si>
  <si>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</si>
  <si>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</si>
  <si>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</si>
  <si>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</si>
  <si>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</si>
  <si>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</si>
  <si>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</si>
  <si>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</si>
  <si>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</si>
  <si>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</si>
  <si>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</si>
  <si>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</si>
  <si>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</si>
  <si>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</si>
  <si>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</si>
  <si>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</si>
  <si>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</si>
  <si>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</si>
  <si>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</si>
  <si>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</si>
  <si>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</si>
  <si>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</si>
  <si>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</si>
  <si>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</si>
  <si>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</si>
  <si>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</si>
  <si>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</si>
  <si>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</si>
  <si>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</si>
  <si>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</si>
  <si>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</si>
  <si>
    <t>ENCARGADO</t>
  </si>
  <si>
    <t>HORAS BASE</t>
  </si>
  <si>
    <t xml:space="preserve">EXTRAS HORAS LUZ </t>
  </si>
  <si>
    <t>VESTUARIO</t>
  </si>
  <si>
    <t xml:space="preserve">REFRIGERIO </t>
  </si>
  <si>
    <t>DESCUENTO</t>
  </si>
  <si>
    <t>TOTAL INGRESOS</t>
  </si>
  <si>
    <t>TOTAL</t>
  </si>
  <si>
    <t>FECHA</t>
  </si>
  <si>
    <t>SALARIO</t>
  </si>
  <si>
    <t>RIEGO DE CANCHA</t>
  </si>
  <si>
    <t>LIMPIEZA VESTUARIO</t>
  </si>
  <si>
    <t>REP_ REDES</t>
  </si>
  <si>
    <t>TOTAL DE EGRESOS</t>
  </si>
  <si>
    <t>OBSERVACIONES</t>
  </si>
  <si>
    <t xml:space="preserve">DECLARACION </t>
  </si>
  <si>
    <t>FIRMA</t>
  </si>
  <si>
    <t>INFLAR_B</t>
  </si>
  <si>
    <t>CANCHA DE FUTBOL</t>
  </si>
  <si>
    <t>LIBRO DE TURNOS</t>
  </si>
  <si>
    <t xml:space="preserve">RESTA </t>
  </si>
  <si>
    <t>Final</t>
  </si>
  <si>
    <t xml:space="preserve">Hora fraccion </t>
  </si>
  <si>
    <t xml:space="preserve">Horas </t>
  </si>
  <si>
    <t>Minutos</t>
  </si>
  <si>
    <t>Totales</t>
  </si>
  <si>
    <t>Elvis Herrera</t>
  </si>
  <si>
    <t xml:space="preserve">Luz fraccion </t>
  </si>
  <si>
    <t>Extra luz</t>
  </si>
  <si>
    <t>Descuento %</t>
  </si>
  <si>
    <t>Descuento $</t>
  </si>
  <si>
    <t>Riego</t>
  </si>
  <si>
    <t>Limpieza</t>
  </si>
  <si>
    <t>Redes</t>
  </si>
  <si>
    <t>Pelotas</t>
  </si>
  <si>
    <t>Jornada</t>
  </si>
  <si>
    <t>se ha dañado la heladera se llamo al tecnico vendra mañana por la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</si>
</sst>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dddd\ dd\ &quot;DE&quot;\ mmmm&quot;DE&quot;\ yyyy"/>
    <numFmt numFmtId="166" formatCode="[hh]:mm"/>
    <numFmt numFmtId="167" formatCode="[$$-2C0A]\ #,##0.00;\-[$$-2C0A]\ #,##0.00"/>
    <numFmt numFmtId="168" formatCode="[$$-2C0A]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Segoe UI"/>
      <family val="2"/>
    </font>
    <font>
      <i/>
      <sz val="11"/>
      <color theme="1"/>
      <name val="Calibri"/>
      <family val="2"/>
      <scheme val="minor"/>
    </font>
    <font>
      <sz val="20"/>
      <color theme="1"/>
      <name val="Aharoni"/>
      <charset val="177"/>
    </font>
    <font>
      <sz val="14"/>
      <color theme="1"/>
      <name val="ADLaM Display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/>
    <xf numFmtId="16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5" borderId="5" xfId="0" applyFill="1" applyBorder="1"/>
    <xf numFmtId="0" fontId="0" fillId="0" borderId="9" xfId="0" applyBorder="1"/>
    <xf numFmtId="0" fontId="0" fillId="0" borderId="10" xfId="0" applyBorder="1"/>
    <xf numFmtId="20" fontId="0" fillId="0" borderId="0" xfId="0" applyNumberFormat="1"/>
    <xf numFmtId="166" fontId="0" fillId="0" borderId="0" xfId="0" applyNumberFormat="1"/>
    <xf numFmtId="167" fontId="0" fillId="0" borderId="1" xfId="1" applyNumberFormat="1" applyFont="1" applyBorder="1"/>
    <xf numFmtId="168" fontId="0" fillId="0" borderId="0" xfId="0" applyNumberFormat="1"/>
    <xf numFmtId="165" fontId="0" fillId="0" borderId="0" xfId="0" applyNumberFormat="1"/>
    <xf numFmtId="164" fontId="0" fillId="0" borderId="0" xfId="1" applyFont="1"/>
    <xf numFmtId="164" fontId="0" fillId="0" borderId="0" xfId="1" applyFont="1" applyAlignment="1">
      <alignment horizontal="center" vertical="center"/>
    </xf>
    <xf numFmtId="0" fontId="2" fillId="2" borderId="9" xfId="0" applyFont="1" applyFill="1" applyBorder="1"/>
    <xf numFmtId="0" fontId="2" fillId="2" borderId="0" xfId="0" applyFont="1" applyFill="1"/>
    <xf numFmtId="0" fontId="0" fillId="0" borderId="1" xfId="1" applyNumberFormat="1" applyFont="1" applyBorder="1"/>
    <xf numFmtId="20" fontId="2" fillId="6" borderId="0" xfId="0" applyNumberFormat="1" applyFont="1" applyFill="1"/>
    <xf numFmtId="0" fontId="2" fillId="6" borderId="0" xfId="0" applyFont="1" applyFill="1"/>
    <xf numFmtId="168" fontId="2" fillId="6" borderId="0" xfId="0" applyNumberFormat="1" applyFont="1" applyFill="1"/>
    <xf numFmtId="164" fontId="2" fillId="6" borderId="0" xfId="1" applyFont="1" applyFill="1" applyAlignment="1">
      <alignment horizontal="center" vertical="center"/>
    </xf>
    <xf numFmtId="164" fontId="2" fillId="6" borderId="0" xfId="0" applyNumberFormat="1" applyFont="1" applyFill="1"/>
    <xf numFmtId="9" fontId="0" fillId="0" borderId="0" xfId="2" applyFont="1"/>
    <xf numFmtId="9" fontId="2" fillId="2" borderId="0" xfId="2" applyFont="1" applyFill="1"/>
    <xf numFmtId="0" fontId="0" fillId="0" borderId="0" xfId="2" applyNumberFormat="1" applyFont="1"/>
    <xf numFmtId="9" fontId="2" fillId="0" borderId="0" xfId="2" applyFont="1" applyFill="1"/>
    <xf numFmtId="0" fontId="6" fillId="8" borderId="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0" fillId="9" borderId="0" xfId="0" applyFill="1"/>
    <xf numFmtId="0" fontId="2" fillId="0" borderId="1" xfId="0" applyFont="1" applyBorder="1"/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165" fontId="0" fillId="0" borderId="12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43" fontId="2" fillId="3" borderId="10" xfId="0" applyNumberFormat="1" applyFont="1" applyFill="1" applyBorder="1"/>
    <xf numFmtId="0" fontId="2" fillId="10" borderId="9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168" fontId="2" fillId="4" borderId="10" xfId="0" applyNumberFormat="1" applyFont="1" applyFill="1" applyBorder="1"/>
    <xf numFmtId="0" fontId="0" fillId="0" borderId="0" xfId="0" applyFill="1"/>
    <xf numFmtId="0" fontId="2" fillId="0" borderId="1" xfId="0" applyFont="1" applyFill="1" applyBorder="1"/>
    <xf numFmtId="165" fontId="0" fillId="0" borderId="1" xfId="0" applyNumberFormat="1" applyFill="1" applyBorder="1"/>
    <xf numFmtId="0" fontId="0" fillId="0" borderId="10" xfId="0" applyFill="1" applyBorder="1"/>
    <xf numFmtId="20" fontId="0" fillId="0" borderId="1" xfId="0" applyNumberFormat="1" applyFill="1" applyBorder="1"/>
    <xf numFmtId="168" fontId="0" fillId="0" borderId="1" xfId="0" applyNumberFormat="1" applyFill="1" applyBorder="1"/>
    <xf numFmtId="0" fontId="0" fillId="0" borderId="1" xfId="0" applyFill="1" applyBorder="1"/>
    <xf numFmtId="164" fontId="0" fillId="0" borderId="5" xfId="1" applyFont="1" applyFill="1" applyBorder="1" applyAlignment="1">
      <alignment horizontal="center"/>
    </xf>
    <xf numFmtId="164" fontId="0" fillId="0" borderId="11" xfId="1" applyFont="1" applyFill="1" applyBorder="1" applyAlignment="1">
      <alignment horizontal="center"/>
    </xf>
    <xf numFmtId="164" fontId="0" fillId="0" borderId="3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1" applyFont="1" applyFill="1" applyBorder="1"/>
    <xf numFmtId="0" fontId="8" fillId="0" borderId="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0" fontId="0" fillId="0" borderId="1" xfId="0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2" fillId="5" borderId="4" xfId="0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$J$17" lockText="1" noThreeD="1"/>
</file>

<file path=xl/ctrlProps/ctrlProp2.xml><?xml version="1.0" encoding="utf-8"?>
<formControlPr xmlns="http://schemas.microsoft.com/office/spreadsheetml/2009/9/main" objectType="CheckBox" checked="Checked" fmlaLink="$J$18" lockText="1" noThreeD="1"/>
</file>

<file path=xl/ctrlProps/ctrlProp3.xml><?xml version="1.0" encoding="utf-8"?>
<formControlPr xmlns="http://schemas.microsoft.com/office/spreadsheetml/2009/9/main" objectType="CheckBox" checked="Checked" fmlaLink="$J$19" lockText="1" noThreeD="1"/>
</file>

<file path=xl/ctrlProps/ctrlProp4.xml><?xml version="1.0" encoding="utf-8"?>
<formControlPr xmlns="http://schemas.microsoft.com/office/spreadsheetml/2009/9/main" objectType="CheckBox" checked="Checked" fmlaLink="$J$20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Radio" firstButton="1" fmlaLink="$J$21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</xdr:colOff>
          <xdr:row>15</xdr:row>
          <xdr:rowOff>69850</xdr:rowOff>
        </xdr:from>
        <xdr:to>
          <xdr:col>2</xdr:col>
          <xdr:colOff>114300</xdr:colOff>
          <xdr:row>16</xdr:row>
          <xdr:rowOff>107950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Riego de cancha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424180</xdr:colOff>
          <xdr:row>15</xdr:row>
          <xdr:rowOff>69850</xdr:rowOff>
        </xdr:from>
        <xdr:to>
          <xdr:col>3</xdr:col>
          <xdr:colOff>469900</xdr:colOff>
          <xdr:row>16</xdr:row>
          <xdr:rowOff>107950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1531DFE7-9CC9-EE6F-CD54-2211BD7CC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limpieza vestuario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17780</xdr:colOff>
          <xdr:row>15</xdr:row>
          <xdr:rowOff>69850</xdr:rowOff>
        </xdr:from>
        <xdr:to>
          <xdr:col>5</xdr:col>
          <xdr:colOff>63500</xdr:colOff>
          <xdr:row>16</xdr:row>
          <xdr:rowOff>107950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68F13B49-2AEB-AF67-55D8-6B663DB38A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reparacion redes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403860</xdr:colOff>
          <xdr:row>15</xdr:row>
          <xdr:rowOff>69850</xdr:rowOff>
        </xdr:from>
        <xdr:to>
          <xdr:col>6</xdr:col>
          <xdr:colOff>449580</xdr:colOff>
          <xdr:row>16</xdr:row>
          <xdr:rowOff>107950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758E68EF-8A21-549C-7828-8A13E803F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inflar pelotas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17</xdr:row>
          <xdr:rowOff>53340</xdr:rowOff>
        </xdr:from>
        <xdr:to>
          <xdr:col>3</xdr:col>
          <xdr:colOff>754380</xdr:colOff>
          <xdr:row>21</xdr:row>
          <xdr:rowOff>144780</xdr:rowOff>
        </xdr:to>
        <xdr:sp macro="" textlink="">
          <xdr:nvSpPr>
            <xdr:cNvPr id="2057" name="Group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Tipo de Jornada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18</xdr:row>
          <xdr:rowOff>30480</xdr:rowOff>
        </xdr:from>
        <xdr:to>
          <xdr:col>2</xdr:col>
          <xdr:colOff>510540</xdr:colOff>
          <xdr:row>19</xdr:row>
          <xdr:rowOff>68580</xdr:rowOff>
        </xdr:to>
        <xdr:sp macro="" textlink="">
          <xdr:nvSpPr>
            <xdr:cNvPr id="2058" name="Option Butto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Jornada Normal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20</xdr:row>
          <xdr:rowOff>30480</xdr:rowOff>
        </xdr:from>
        <xdr:to>
          <xdr:col>2</xdr:col>
          <xdr:colOff>518160</xdr:colOff>
          <xdr:row>21</xdr:row>
          <xdr:rowOff>68580</xdr:rowOff>
        </xdr:to>
        <xdr:sp macro="" textlink="">
          <xdr:nvSpPr>
            <xdr:cNvPr id="2059" name="Option 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Jjornada feriado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N35"/>
  <sheetViews>
    <sheetView showGridLines="0" topLeftCell="A2" zoomScale="85" zoomScaleNormal="85" workbookViewId="0">
      <selection activeCell="L19" sqref="L19"/>
    </sheetView>
  </sheetViews>
  <sheetFormatPr baseColWidth="10" defaultColWidth="0" defaultRowHeight="14.4" zeroHeight="1" x14ac:dyDescent="0.3"/>
  <cols>
    <col min="1" max="1" width="11.5546875" customWidth="1"/>
    <col min="2" max="2" width="18.6640625" bestFit="1" customWidth="1"/>
    <col min="3" max="9" width="6.33203125" customWidth="1"/>
    <col min="10" max="10" width="27.44140625" customWidth="1"/>
    <col min="11" max="12" width="9.44140625" customWidth="1"/>
    <col min="15" max="16384" width="11.5546875" hidden="1"/>
  </cols>
  <sheetData>
    <row r="1" spans="2:14" x14ac:dyDescent="0.3"/>
    <row r="2" spans="2:14" ht="52.2" customHeight="1" x14ac:dyDescent="0.3">
      <c r="B2" s="85" t="s">
        <v>58</v>
      </c>
      <c r="C2" s="86"/>
      <c r="D2" s="86"/>
      <c r="E2" s="86"/>
      <c r="F2" s="86"/>
      <c r="G2" s="86"/>
      <c r="H2" s="86"/>
      <c r="I2" s="86"/>
      <c r="J2" s="87"/>
    </row>
    <row r="3" spans="2:14" ht="23.4" customHeight="1" x14ac:dyDescent="0.3">
      <c r="B3" s="33" t="s">
        <v>59</v>
      </c>
      <c r="C3" s="34"/>
      <c r="D3" s="34"/>
      <c r="E3" s="34"/>
      <c r="F3" s="34"/>
      <c r="G3" s="34"/>
      <c r="H3" s="34"/>
      <c r="I3" s="34"/>
      <c r="J3" s="35"/>
    </row>
    <row r="4" spans="2:14" x14ac:dyDescent="0.3">
      <c r="B4" s="12"/>
      <c r="J4" s="13"/>
    </row>
    <row r="5" spans="2:14" x14ac:dyDescent="0.3">
      <c r="B5" s="83" t="s">
        <v>40</v>
      </c>
      <c r="C5" s="80" t="str">
        <f>INGRESOS!C2</f>
        <v>Elvis Herrera</v>
      </c>
      <c r="D5" s="81"/>
      <c r="E5" s="81"/>
      <c r="F5" s="81"/>
      <c r="G5" s="81"/>
      <c r="H5" s="68"/>
      <c r="I5" s="83" t="s">
        <v>48</v>
      </c>
      <c r="J5" s="70">
        <f>INGRESOS!C3</f>
        <v>46118</v>
      </c>
      <c r="K5" s="18"/>
      <c r="L5" s="18"/>
      <c r="M5" s="18"/>
      <c r="N5" s="18"/>
    </row>
    <row r="6" spans="2:14" x14ac:dyDescent="0.3">
      <c r="B6" s="12"/>
      <c r="C6" s="68">
        <v>1</v>
      </c>
      <c r="D6" s="68">
        <v>2</v>
      </c>
      <c r="E6" s="68">
        <v>3</v>
      </c>
      <c r="F6" s="68">
        <v>4</v>
      </c>
      <c r="G6" s="68">
        <v>5</v>
      </c>
      <c r="H6" s="68">
        <v>6</v>
      </c>
      <c r="I6" s="68">
        <v>7</v>
      </c>
      <c r="J6" s="71" t="s">
        <v>47</v>
      </c>
    </row>
    <row r="7" spans="2:14" x14ac:dyDescent="0.3">
      <c r="B7" s="5" t="s">
        <v>41</v>
      </c>
      <c r="C7" s="72">
        <f>INGRESOS!J7</f>
        <v>4.1666666666666664E-2</v>
      </c>
      <c r="D7" s="72">
        <f>INGRESOS!J8</f>
        <v>6.9444444444444448E-2</v>
      </c>
      <c r="E7" s="72">
        <f>INGRESOS!J9</f>
        <v>8.3333333333333329E-2</v>
      </c>
      <c r="F7" s="72">
        <f>INGRESOS!J10</f>
        <v>4.1666666666666664E-2</v>
      </c>
      <c r="G7" s="72">
        <f>INGRESOS!J11</f>
        <v>4.1666666666666664E-2</v>
      </c>
      <c r="H7" s="72">
        <f>INGRESOS!J12</f>
        <v>6.9444444444444448E-2</v>
      </c>
      <c r="I7" s="72">
        <f>INGRESOS!J13</f>
        <v>4.8611111111111105E-2</v>
      </c>
      <c r="J7" s="73">
        <f>INGRESOS!M14</f>
        <v>19800</v>
      </c>
    </row>
    <row r="8" spans="2:14" x14ac:dyDescent="0.3">
      <c r="B8" s="5" t="s">
        <v>42</v>
      </c>
      <c r="C8" s="74" t="str">
        <f>IF(ROUND(INGRESOS!N7,0)&gt;0,"si","no")</f>
        <v>no</v>
      </c>
      <c r="D8" s="74" t="str">
        <f>IF(ROUND(INGRESOS!N8,0)&gt;0,"si","no")</f>
        <v>no</v>
      </c>
      <c r="E8" s="74" t="str">
        <f>IF(ROUND(INGRESOS!N9,0)&gt;0,"si","no")</f>
        <v>no</v>
      </c>
      <c r="F8" s="74" t="str">
        <f>IF(ROUND(INGRESOS!N10,0)&gt;0,"si","no")</f>
        <v>no</v>
      </c>
      <c r="G8" s="74" t="str">
        <f>IF(ROUND(INGRESOS!N11,0)&gt;0,"si","no")</f>
        <v>no</v>
      </c>
      <c r="H8" s="74" t="str">
        <f>IF(ROUND(INGRESOS!N12,0)&gt;0,"si","no")</f>
        <v>si</v>
      </c>
      <c r="I8" s="74" t="str">
        <f>IF(ROUND(INGRESOS!N13,0)&gt;0,"si","no")</f>
        <v>si</v>
      </c>
      <c r="J8" s="73">
        <f>INGRESOS!N14</f>
        <v>320.5</v>
      </c>
    </row>
    <row r="9" spans="2:14" x14ac:dyDescent="0.3">
      <c r="B9" s="47" t="s">
        <v>43</v>
      </c>
      <c r="C9" s="69" t="str">
        <f>IF(INGRESOS!E7='Lista de Precios'!$C$6,"N",IF(INGRESOS!E7='Lista de Precios'!$D$6,"B",IF(INGRESOS!E7='Lista de Precios'!$E$6,"C",IF(INGRESOS!E7='Lista de Precios'!$F$6,"P",""))))</f>
        <v>N</v>
      </c>
      <c r="D9" s="69" t="str">
        <f>IF(INGRESOS!E8='Lista de Precios'!$C$6,"N",IF(INGRESOS!E8='Lista de Precios'!$D$6,"B",IF(INGRESOS!E8='Lista de Precios'!$E$6,"C",IF(INGRESOS!E8='Lista de Precios'!$F$6,"P",""))))</f>
        <v>B</v>
      </c>
      <c r="E9" s="69" t="str">
        <f>IF(INGRESOS!E9='Lista de Precios'!$C$6,"N",IF(INGRESOS!E9='Lista de Precios'!$D$6,"B",IF(INGRESOS!E9='Lista de Precios'!$E$6,"C",IF(INGRESOS!E9='Lista de Precios'!$F$6,"P",""))))</f>
        <v>C</v>
      </c>
      <c r="F9" s="69" t="str">
        <f>IF(INGRESOS!E10='Lista de Precios'!$C$6,"N",IF(INGRESOS!E10='Lista de Precios'!$D$6,"B",IF(INGRESOS!E10='Lista de Precios'!$E$6,"C",IF(INGRESOS!E10='Lista de Precios'!$F$6,"P",""))))</f>
        <v>P</v>
      </c>
      <c r="G9" s="69" t="str">
        <f>IF(INGRESOS!E11='Lista de Precios'!$C$6,"N",IF(INGRESOS!E11='Lista de Precios'!$D$6,"B",IF(INGRESOS!E11='Lista de Precios'!$E$6,"C",IF(INGRESOS!E11='Lista de Precios'!$F$6,"P",""))))</f>
        <v>B</v>
      </c>
      <c r="H9" s="69" t="str">
        <f>IF(INGRESOS!E12='Lista de Precios'!$C$6,"N",IF(INGRESOS!E12='Lista de Precios'!$D$6,"B",IF(INGRESOS!E12='Lista de Precios'!$E$6,"C",IF(INGRESOS!E12='Lista de Precios'!$F$6,"P",""))))</f>
        <v>B</v>
      </c>
      <c r="I9" s="69" t="str">
        <f>IF(INGRESOS!E13='Lista de Precios'!$C$6,"N",IF(INGRESOS!E13='Lista de Precios'!$D$6,"B",IF(INGRESOS!E13='Lista de Precios'!$E$6,"C",IF(INGRESOS!E13='Lista de Precios'!$F$6,"P",""))))</f>
        <v>N</v>
      </c>
      <c r="J9" s="73">
        <f>INGRESOS!O14</f>
        <v>4890</v>
      </c>
    </row>
    <row r="10" spans="2:14" x14ac:dyDescent="0.3">
      <c r="B10" s="47" t="s">
        <v>44</v>
      </c>
      <c r="C10" s="69" t="str">
        <f>IF(INGRESOS!F7='Lista de Precios'!$C$8,"N",IF(INGRESOS!F7='Lista de Precios'!$D$8,"M",IF(INGRESOS!F7='Lista de Precios'!$E$8,"B",IF(INGRESOS!F7='Lista de Precios'!$F$8,"A",IF(INGRESOS!F7='Lista de Precios'!$G$8,"C","")))))</f>
        <v>B</v>
      </c>
      <c r="D10" s="69" t="str">
        <f>IF(INGRESOS!F8='Lista de Precios'!$C$8,"N",IF(INGRESOS!F8='Lista de Precios'!$D$8,"M",IF(INGRESOS!F8='Lista de Precios'!$E$8,"B",IF(INGRESOS!F8='Lista de Precios'!$F$8,"A",IF(INGRESOS!F8='Lista de Precios'!$G$8,"C","")))))</f>
        <v>M</v>
      </c>
      <c r="E10" s="69" t="str">
        <f>IF(INGRESOS!F9='Lista de Precios'!$C$8,"N",IF(INGRESOS!F9='Lista de Precios'!$D$8,"M",IF(INGRESOS!F9='Lista de Precios'!$E$8,"B",IF(INGRESOS!F9='Lista de Precios'!$F$8,"A",IF(INGRESOS!F9='Lista de Precios'!$G$8,"C","")))))</f>
        <v>N</v>
      </c>
      <c r="F10" s="69" t="str">
        <f>IF(INGRESOS!F10='Lista de Precios'!$C$8,"N",IF(INGRESOS!F10='Lista de Precios'!$D$8,"M",IF(INGRESOS!F10='Lista de Precios'!$E$8,"B",IF(INGRESOS!F10='Lista de Precios'!$F$8,"A",IF(INGRESOS!F10='Lista de Precios'!$G$8,"C","")))))</f>
        <v>B</v>
      </c>
      <c r="G10" s="69" t="str">
        <f>IF(INGRESOS!F11='Lista de Precios'!$C$8,"N",IF(INGRESOS!F11='Lista de Precios'!$D$8,"M",IF(INGRESOS!F11='Lista de Precios'!$E$8,"B",IF(INGRESOS!F11='Lista de Precios'!$F$8,"A",IF(INGRESOS!F11='Lista de Precios'!$G$8,"C","")))))</f>
        <v>B</v>
      </c>
      <c r="H10" s="69" t="str">
        <f>IF(INGRESOS!F12='Lista de Precios'!$C$8,"N",IF(INGRESOS!F12='Lista de Precios'!$D$8,"M",IF(INGRESOS!F12='Lista de Precios'!$E$8,"B",IF(INGRESOS!F12='Lista de Precios'!$F$8,"A",IF(INGRESOS!F12='Lista de Precios'!$G$8,"C","")))))</f>
        <v>N</v>
      </c>
      <c r="I10" s="69" t="str">
        <f>IF(INGRESOS!F13='Lista de Precios'!$C$8,"N",IF(INGRESOS!F13='Lista de Precios'!$D$8,"M",IF(INGRESOS!F13='Lista de Precios'!$E$8,"B",IF(INGRESOS!F13='Lista de Precios'!$F$8,"A",IF(INGRESOS!F13='Lista de Precios'!$G$8,"C","")))))</f>
        <v>M</v>
      </c>
      <c r="J10" s="73">
        <f>INGRESOS!P14</f>
        <v>10790</v>
      </c>
    </row>
    <row r="11" spans="2:14" x14ac:dyDescent="0.3">
      <c r="B11" s="5" t="s">
        <v>45</v>
      </c>
      <c r="C11" s="74">
        <f>INGRESOS!Q7</f>
        <v>15</v>
      </c>
      <c r="D11" s="74">
        <f>INGRESOS!Q8</f>
        <v>15</v>
      </c>
      <c r="E11" s="74">
        <f>INGRESOS!Q9</f>
        <v>15</v>
      </c>
      <c r="F11" s="74">
        <f>INGRESOS!Q10</f>
        <v>15</v>
      </c>
      <c r="G11" s="74">
        <f>INGRESOS!Q11</f>
        <v>0</v>
      </c>
      <c r="H11" s="74">
        <f>INGRESOS!Q12</f>
        <v>0</v>
      </c>
      <c r="I11" s="74">
        <f>INGRESOS!Q13</f>
        <v>15</v>
      </c>
      <c r="J11" s="74">
        <f>INGRESOS!R14</f>
        <v>4674.0749999999998</v>
      </c>
    </row>
    <row r="12" spans="2:14" x14ac:dyDescent="0.3">
      <c r="B12" s="63" t="s">
        <v>46</v>
      </c>
      <c r="C12" s="64"/>
      <c r="D12" s="64"/>
      <c r="E12" s="64"/>
      <c r="F12" s="64"/>
      <c r="G12" s="64"/>
      <c r="H12" s="64"/>
      <c r="I12" s="64"/>
      <c r="J12" s="67">
        <f>SUM(J7+J8+J9+J10-J11)</f>
        <v>31126.424999999999</v>
      </c>
    </row>
    <row r="13" spans="2:14" x14ac:dyDescent="0.3">
      <c r="B13" s="5" t="s">
        <v>49</v>
      </c>
      <c r="C13" s="75">
        <f>IF(INGRESOS!J22=1,'Lista de Precios'!C21,IF(INGRESOS!J22=2,'Lista de Precios'!E21,IF(INGRESOS!J22=3,'Lista de Precios'!D21,"")))</f>
        <v>3200</v>
      </c>
      <c r="D13" s="76"/>
      <c r="E13" s="77"/>
      <c r="F13" s="68"/>
      <c r="G13" s="68"/>
      <c r="H13" s="78" t="s">
        <v>52</v>
      </c>
      <c r="I13" s="78"/>
      <c r="J13" s="79">
        <f>IF(INGRESOS!J19=TRUE,'Lista de Precios'!C17,0)</f>
        <v>100</v>
      </c>
    </row>
    <row r="14" spans="2:14" x14ac:dyDescent="0.3">
      <c r="B14" s="5" t="s">
        <v>50</v>
      </c>
      <c r="C14" s="75">
        <f>IF(INGRESOS!J17=TRUE,'Lista de Precios'!C15,0)</f>
        <v>160</v>
      </c>
      <c r="D14" s="76"/>
      <c r="E14" s="77"/>
      <c r="F14" s="68"/>
      <c r="G14" s="68"/>
      <c r="H14" s="78" t="s">
        <v>57</v>
      </c>
      <c r="I14" s="78"/>
      <c r="J14" s="79">
        <f>IF(INGRESOS!J20=TRUE,'Lista de Precios'!C18,0)</f>
        <v>70</v>
      </c>
    </row>
    <row r="15" spans="2:14" x14ac:dyDescent="0.3">
      <c r="B15" s="5" t="s">
        <v>51</v>
      </c>
      <c r="C15" s="75">
        <f>IF(INGRESOS!J18=TRUE,'Lista de Precios'!C16,0)</f>
        <v>300</v>
      </c>
      <c r="D15" s="76"/>
      <c r="E15" s="77"/>
      <c r="F15" s="68"/>
      <c r="G15" s="68"/>
      <c r="H15" s="68"/>
      <c r="I15" s="68"/>
      <c r="J15" s="71"/>
    </row>
    <row r="16" spans="2:14" x14ac:dyDescent="0.3">
      <c r="B16" s="65" t="s">
        <v>53</v>
      </c>
      <c r="C16" s="66"/>
      <c r="D16" s="66"/>
      <c r="E16" s="66"/>
      <c r="F16" s="66"/>
      <c r="G16" s="66"/>
      <c r="H16" s="66"/>
      <c r="I16" s="66"/>
      <c r="J16" s="62">
        <f>C13+C14+C15+J13+J14</f>
        <v>3830</v>
      </c>
    </row>
    <row r="17" spans="2:10" x14ac:dyDescent="0.3">
      <c r="B17" s="12"/>
      <c r="J17" s="13"/>
    </row>
    <row r="18" spans="2:10" x14ac:dyDescent="0.3">
      <c r="B18" s="82" t="s">
        <v>54</v>
      </c>
      <c r="C18" s="82"/>
      <c r="D18" s="82"/>
      <c r="E18" s="82"/>
      <c r="F18" s="82"/>
      <c r="G18" s="82"/>
      <c r="H18" s="82"/>
      <c r="I18" s="82"/>
      <c r="J18" s="82"/>
    </row>
    <row r="19" spans="2:10" x14ac:dyDescent="0.3">
      <c r="B19" s="49" t="str">
        <f>INGRESOS!E18</f>
        <v>se ha dañado la heladera se llamo al tecnico vendra mañana por la tarde</v>
      </c>
      <c r="C19" s="50"/>
      <c r="D19" s="50"/>
      <c r="E19" s="50"/>
      <c r="F19" s="50"/>
      <c r="G19" s="50"/>
      <c r="H19" s="50"/>
      <c r="I19" s="50"/>
      <c r="J19" s="51"/>
    </row>
    <row r="20" spans="2:10" x14ac:dyDescent="0.3">
      <c r="B20" s="52"/>
      <c r="C20" s="53"/>
      <c r="D20" s="53"/>
      <c r="E20" s="53"/>
      <c r="F20" s="53"/>
      <c r="G20" s="53"/>
      <c r="H20" s="53"/>
      <c r="I20" s="53"/>
      <c r="J20" s="54"/>
    </row>
    <row r="21" spans="2:10" x14ac:dyDescent="0.3">
      <c r="B21" s="52"/>
      <c r="C21" s="53"/>
      <c r="D21" s="53"/>
      <c r="E21" s="53"/>
      <c r="F21" s="53"/>
      <c r="G21" s="53"/>
      <c r="H21" s="53"/>
      <c r="I21" s="53"/>
      <c r="J21" s="54"/>
    </row>
    <row r="22" spans="2:10" x14ac:dyDescent="0.3">
      <c r="B22" s="52"/>
      <c r="C22" s="53"/>
      <c r="D22" s="53"/>
      <c r="E22" s="53"/>
      <c r="F22" s="53"/>
      <c r="G22" s="53"/>
      <c r="H22" s="53"/>
      <c r="I22" s="53"/>
      <c r="J22" s="54"/>
    </row>
    <row r="23" spans="2:10" x14ac:dyDescent="0.3">
      <c r="B23" s="55"/>
      <c r="C23" s="56"/>
      <c r="D23" s="56"/>
      <c r="E23" s="56"/>
      <c r="F23" s="56"/>
      <c r="G23" s="56"/>
      <c r="H23" s="56"/>
      <c r="I23" s="56"/>
      <c r="J23" s="57"/>
    </row>
    <row r="24" spans="2:10" x14ac:dyDescent="0.3">
      <c r="B24" s="12"/>
      <c r="J24" s="13"/>
    </row>
    <row r="25" spans="2:10" x14ac:dyDescent="0.3">
      <c r="B25" s="82" t="s">
        <v>55</v>
      </c>
      <c r="C25" s="82"/>
      <c r="D25" s="82"/>
      <c r="E25" s="82"/>
      <c r="F25" s="82"/>
      <c r="G25" s="82"/>
      <c r="H25" s="82"/>
      <c r="I25" s="82"/>
      <c r="J25" s="82"/>
    </row>
    <row r="26" spans="2:10" x14ac:dyDescent="0.3">
      <c r="B26" s="84" t="str">
        <f>"El dia de hoy se generaron ingresos por un total de "&amp;TEXT(J12,"$0,00.00")&amp;", y egresos por un total de "&amp;TEXT(J16,"$0,00.00")&amp;". Por lo tanto el saldo final de el dia con fecha "&amp;TEXT(J5,"dd/mm/yyyy")&amp;" ha sido de "&amp;TEXT( J12-J16,"$0,00.00")</f>
        <v>El dia de hoy se generaron ingresos por un total de $31,126.43, y egresos por un total de $3,830.00. Por lo tanto el saldo final de el dia con fecha 06/04/2026 ha sido de $27,296.43</v>
      </c>
      <c r="C26" s="84"/>
      <c r="D26" s="84"/>
      <c r="E26" s="84"/>
      <c r="F26" s="84"/>
      <c r="G26" s="84"/>
      <c r="H26" s="84"/>
      <c r="I26" s="84"/>
      <c r="J26" s="84"/>
    </row>
    <row r="27" spans="2:10" x14ac:dyDescent="0.3">
      <c r="B27" s="84"/>
      <c r="C27" s="84"/>
      <c r="D27" s="84"/>
      <c r="E27" s="84"/>
      <c r="F27" s="84"/>
      <c r="G27" s="84"/>
      <c r="H27" s="84"/>
      <c r="I27" s="84"/>
      <c r="J27" s="84"/>
    </row>
    <row r="28" spans="2:10" x14ac:dyDescent="0.3">
      <c r="B28" s="84"/>
      <c r="C28" s="84"/>
      <c r="D28" s="84"/>
      <c r="E28" s="84"/>
      <c r="F28" s="84"/>
      <c r="G28" s="84"/>
      <c r="H28" s="84"/>
      <c r="I28" s="84"/>
      <c r="J28" s="84"/>
    </row>
    <row r="29" spans="2:10" x14ac:dyDescent="0.3">
      <c r="B29" s="83" t="s">
        <v>56</v>
      </c>
      <c r="C29" s="36"/>
      <c r="D29" s="36"/>
      <c r="E29" s="36"/>
      <c r="F29" s="36"/>
      <c r="G29" s="36"/>
      <c r="H29" s="36"/>
      <c r="I29" s="36"/>
      <c r="J29" s="36"/>
    </row>
    <row r="30" spans="2:10" x14ac:dyDescent="0.3"/>
    <row r="31" spans="2:10" x14ac:dyDescent="0.3"/>
    <row r="32" spans="2:10" x14ac:dyDescent="0.3"/>
    <row r="33" customFormat="1" hidden="1" x14ac:dyDescent="0.3"/>
    <row r="34" customFormat="1" hidden="1" x14ac:dyDescent="0.3"/>
    <row r="35" customFormat="1" hidden="1" x14ac:dyDescent="0.3"/>
  </sheetData>
  <mergeCells count="15">
    <mergeCell ref="B25:J25"/>
    <mergeCell ref="B26:J28"/>
    <mergeCell ref="C29:J29"/>
    <mergeCell ref="B12:I12"/>
    <mergeCell ref="H13:I13"/>
    <mergeCell ref="C13:E13"/>
    <mergeCell ref="C14:E14"/>
    <mergeCell ref="C15:E15"/>
    <mergeCell ref="H14:I14"/>
    <mergeCell ref="B19:J23"/>
    <mergeCell ref="B2:J2"/>
    <mergeCell ref="B3:J3"/>
    <mergeCell ref="B16:I16"/>
    <mergeCell ref="B18:J18"/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7DD8-E4B7-4577-AD09-F8E086CADD34}">
  <dimension ref="B1:R24"/>
  <sheetViews>
    <sheetView showGridLines="0" tabSelected="1" workbookViewId="0">
      <selection activeCell="D8" sqref="D8"/>
    </sheetView>
  </sheetViews>
  <sheetFormatPr baseColWidth="10" defaultColWidth="0" defaultRowHeight="14.4" zeroHeight="1" x14ac:dyDescent="0.3"/>
  <cols>
    <col min="1" max="1" width="2.109375" customWidth="1"/>
    <col min="2" max="8" width="11.5546875" customWidth="1"/>
    <col min="9" max="9" width="8.109375" hidden="1"/>
    <col min="10" max="10" width="11.5546875" hidden="1"/>
    <col min="11" max="11" width="7" hidden="1"/>
    <col min="13" max="13" width="11.5546875" hidden="1"/>
    <col min="14" max="14" width="11.5546875" style="20" hidden="1"/>
    <col min="17" max="17" width="0" style="29" hidden="1"/>
    <col min="19" max="16384" width="11.5546875" hidden="1"/>
  </cols>
  <sheetData>
    <row r="1" spans="2:18" x14ac:dyDescent="0.3"/>
    <row r="2" spans="2:18" x14ac:dyDescent="0.3">
      <c r="B2" s="11" t="s">
        <v>39</v>
      </c>
      <c r="C2" s="58" t="s">
        <v>66</v>
      </c>
      <c r="D2" s="59"/>
      <c r="E2" s="59"/>
      <c r="F2" s="59"/>
      <c r="G2" s="59"/>
    </row>
    <row r="3" spans="2:18" x14ac:dyDescent="0.3">
      <c r="B3" s="11" t="s">
        <v>38</v>
      </c>
      <c r="C3" s="60">
        <v>46118</v>
      </c>
      <c r="D3" s="61"/>
      <c r="E3" s="61"/>
      <c r="F3" s="61"/>
      <c r="G3" s="61"/>
    </row>
    <row r="4" spans="2:18" x14ac:dyDescent="0.3"/>
    <row r="5" spans="2:18" ht="18" x14ac:dyDescent="0.35">
      <c r="C5" s="89" t="s">
        <v>37</v>
      </c>
      <c r="D5" s="90"/>
      <c r="E5" s="91" t="s">
        <v>36</v>
      </c>
      <c r="F5" s="91"/>
      <c r="G5" s="91"/>
    </row>
    <row r="6" spans="2:18" x14ac:dyDescent="0.3">
      <c r="C6" s="10" t="s">
        <v>35</v>
      </c>
      <c r="D6" s="10" t="s">
        <v>34</v>
      </c>
      <c r="E6" s="88" t="s">
        <v>4</v>
      </c>
      <c r="F6" s="88" t="s">
        <v>9</v>
      </c>
      <c r="G6" s="9" t="s">
        <v>33</v>
      </c>
      <c r="I6" s="21" t="s">
        <v>60</v>
      </c>
      <c r="J6" s="22" t="s">
        <v>61</v>
      </c>
      <c r="K6" s="22" t="s">
        <v>63</v>
      </c>
      <c r="L6" s="22" t="s">
        <v>64</v>
      </c>
      <c r="M6" s="22" t="s">
        <v>65</v>
      </c>
      <c r="N6" s="22" t="s">
        <v>68</v>
      </c>
      <c r="O6" s="22" t="s">
        <v>4</v>
      </c>
      <c r="P6" s="22" t="s">
        <v>9</v>
      </c>
      <c r="Q6" s="30" t="s">
        <v>69</v>
      </c>
      <c r="R6" s="22" t="s">
        <v>70</v>
      </c>
    </row>
    <row r="7" spans="2:18" x14ac:dyDescent="0.3">
      <c r="B7" s="8" t="s">
        <v>32</v>
      </c>
      <c r="C7" s="7">
        <v>0.375</v>
      </c>
      <c r="D7" s="6">
        <v>0.41666666666666669</v>
      </c>
      <c r="E7" s="47" t="s">
        <v>5</v>
      </c>
      <c r="F7" s="47" t="s">
        <v>6</v>
      </c>
      <c r="G7" s="5">
        <v>40</v>
      </c>
      <c r="I7" s="14">
        <v>4.1666666666666664E-2</v>
      </c>
      <c r="J7" s="14">
        <f>IF(HOUR(I7)&lt;1,_xlfn.CEILING.MATH(I7,"01:00"),_xlfn.CEILING.MATH(I7,"00:10"))</f>
        <v>4.1666666666666664E-2</v>
      </c>
      <c r="K7">
        <f>HOUR(J7)</f>
        <v>1</v>
      </c>
      <c r="L7">
        <f>MINUTE(J7)/10</f>
        <v>0</v>
      </c>
      <c r="M7" s="17">
        <f>((K7*'Lista de Precios'!$C$5)+(L7*'Lista de Precios'!$E$5))*G7</f>
        <v>4000</v>
      </c>
      <c r="N7" s="20" t="str">
        <f>IF(C7&gt;0.75,((K7*'Lista de Precios'!$D$5)+(L7*'Lista de Precios'!$F$5))*G7,"0")</f>
        <v>0</v>
      </c>
      <c r="O7" s="19">
        <f>IF(INGRESOS!E7='Lista de Precios'!$C$6,'Lista de Precios'!$C$7,IF(E7='Lista de Precios'!$D$6,'Lista de Precios'!$D$7,IF(E7='Lista de Precios'!$E$6,'Lista de Precios'!$E$7,IF(E7='Lista de Precios'!$F$6,'Lista de Precios'!$F$7,0))))*G7</f>
        <v>0</v>
      </c>
      <c r="P7" s="19">
        <f>IF(F7='Lista de Precios'!$C$8,'Lista de Precios'!$C$9,IF(F7='Lista de Precios'!$D$8,'Lista de Precios'!$D$9,IF(F7='Lista de Precios'!$E$8,'Lista de Precios'!$E$9,IF(F7='Lista de Precios'!$F$8,'Lista de Precios'!$F$9,IF(F7='Lista de Precios'!$G$8,'Lista de Precios'!$G$9,0)))))*G7</f>
        <v>4400</v>
      </c>
      <c r="Q7" s="31">
        <f>IF(G7&lt;=10,'Lista de Precios'!$C$11,IF(INGRESOS!G7&lt;=15,'Lista de Precios'!$D$11,'Lista de Precios'!$E$11))</f>
        <v>15</v>
      </c>
      <c r="R7" s="17">
        <f>SUM(M7+N7+O7+P7)*Q7/100</f>
        <v>1260</v>
      </c>
    </row>
    <row r="8" spans="2:18" x14ac:dyDescent="0.3">
      <c r="B8" s="8" t="s">
        <v>31</v>
      </c>
      <c r="C8" s="7">
        <v>0.4375</v>
      </c>
      <c r="D8" s="6">
        <v>0.50069444444444444</v>
      </c>
      <c r="E8" s="47" t="s">
        <v>6</v>
      </c>
      <c r="F8" s="47" t="s">
        <v>10</v>
      </c>
      <c r="G8" s="5">
        <v>19</v>
      </c>
      <c r="I8" s="14">
        <f t="shared" ref="I8:I13" si="0">D8-C8</f>
        <v>6.3194444444444442E-2</v>
      </c>
      <c r="J8" s="14">
        <f t="shared" ref="J8:J13" si="1">IF(HOUR(I8)&lt;1,_xlfn.CEILING.MATH(I8,"01:00"),_xlfn.CEILING.MATH(I8,"00:10"))</f>
        <v>6.9444444444444448E-2</v>
      </c>
      <c r="K8">
        <f t="shared" ref="K8:K13" si="2">HOUR(J8)</f>
        <v>1</v>
      </c>
      <c r="L8">
        <f t="shared" ref="L8:L13" si="3">MINUTE(J8)/10</f>
        <v>4</v>
      </c>
      <c r="M8" s="17">
        <f>((K8*'Lista de Precios'!$C$5)+(L8*'Lista de Precios'!$E$5))*G8</f>
        <v>3420</v>
      </c>
      <c r="N8" s="20" t="str">
        <f>IF(C8&gt;0.75,((K8*'Lista de Precios'!$D$5)+(L8*'Lista de Precios'!$F$5))*G8,"0")</f>
        <v>0</v>
      </c>
      <c r="O8" s="19">
        <f>IF(INGRESOS!E8='Lista de Precios'!$C$6,'Lista de Precios'!$C$7,IF(E8='Lista de Precios'!$D$6,'Lista de Precios'!$D$7,IF(E8='Lista de Precios'!$E$6,'Lista de Precios'!$E$7,IF(E8='Lista de Precios'!$F$6,'Lista de Precios'!$F$7,0))))*G8</f>
        <v>570</v>
      </c>
      <c r="P8" s="19">
        <f>IF(F8='Lista de Precios'!$C$8,'Lista de Precios'!$C$9,IF(F8='Lista de Precios'!$D$8,'Lista de Precios'!$D$9,IF(F8='Lista de Precios'!$E$8,'Lista de Precios'!$E$9,IF(F8='Lista de Precios'!$F$8,'Lista de Precios'!$F$9,IF(F8='Lista de Precios'!$G$8,'Lista de Precios'!$G$9,0)))))*G8</f>
        <v>1710</v>
      </c>
      <c r="Q8" s="31">
        <f>IF(G8&lt;=10,'Lista de Precios'!$C$11,IF(INGRESOS!G8&lt;=15,'Lista de Precios'!$D$11,'Lista de Precios'!$E$11))</f>
        <v>15</v>
      </c>
      <c r="R8" s="17">
        <f t="shared" ref="R8:R13" si="4">SUM(M8+N8+O8+P8)*Q8/100</f>
        <v>855</v>
      </c>
    </row>
    <row r="9" spans="2:18" x14ac:dyDescent="0.3">
      <c r="B9" s="8" t="s">
        <v>30</v>
      </c>
      <c r="C9" s="7">
        <v>0.51041666666666663</v>
      </c>
      <c r="D9" s="6">
        <v>0.59166666666666667</v>
      </c>
      <c r="E9" s="47" t="s">
        <v>7</v>
      </c>
      <c r="F9" s="47" t="s">
        <v>5</v>
      </c>
      <c r="G9" s="5">
        <v>28</v>
      </c>
      <c r="I9" s="14">
        <f t="shared" si="0"/>
        <v>8.1250000000000044E-2</v>
      </c>
      <c r="J9" s="14">
        <f t="shared" si="1"/>
        <v>8.3333333333333329E-2</v>
      </c>
      <c r="K9">
        <f t="shared" si="2"/>
        <v>2</v>
      </c>
      <c r="L9">
        <f t="shared" si="3"/>
        <v>0</v>
      </c>
      <c r="M9" s="17">
        <f>((K9*'Lista de Precios'!$C$5)+(L9*'Lista de Precios'!$E$5))*G9</f>
        <v>5600</v>
      </c>
      <c r="N9" s="20" t="str">
        <f>IF(C9&gt;0.75,((K9*'Lista de Precios'!$D$5)+(L9*'Lista de Precios'!$F$5))*G9,"0")</f>
        <v>0</v>
      </c>
      <c r="O9" s="19">
        <f>IF(INGRESOS!E9='Lista de Precios'!$C$6,'Lista de Precios'!$C$7,IF(E9='Lista de Precios'!$D$6,'Lista de Precios'!$D$7,IF(E9='Lista de Precios'!$E$6,'Lista de Precios'!$E$7,IF(E9='Lista de Precios'!$F$6,'Lista de Precios'!$F$7,0))))*G9</f>
        <v>1680</v>
      </c>
      <c r="P9" s="19">
        <f>IF(F9='Lista de Precios'!$C$8,'Lista de Precios'!$C$9,IF(F9='Lista de Precios'!$D$8,'Lista de Precios'!$D$9,IF(F9='Lista de Precios'!$E$8,'Lista de Precios'!$E$9,IF(F9='Lista de Precios'!$F$8,'Lista de Precios'!$F$9,IF(F9='Lista de Precios'!$G$8,'Lista de Precios'!$G$9,0)))))*G9</f>
        <v>0</v>
      </c>
      <c r="Q9" s="31">
        <f>IF(G9&lt;=10,'Lista de Precios'!$C$11,IF(INGRESOS!G9&lt;=15,'Lista de Precios'!$D$11,'Lista de Precios'!$E$11))</f>
        <v>15</v>
      </c>
      <c r="R9" s="17">
        <f t="shared" si="4"/>
        <v>1092</v>
      </c>
    </row>
    <row r="10" spans="2:18" x14ac:dyDescent="0.3">
      <c r="B10" s="8" t="s">
        <v>29</v>
      </c>
      <c r="C10" s="7">
        <v>0.625</v>
      </c>
      <c r="D10" s="6">
        <v>0.66527777777777775</v>
      </c>
      <c r="E10" s="47" t="s">
        <v>8</v>
      </c>
      <c r="F10" s="47" t="s">
        <v>6</v>
      </c>
      <c r="G10" s="5">
        <v>17</v>
      </c>
      <c r="I10" s="14">
        <f t="shared" si="0"/>
        <v>4.0277777777777746E-2</v>
      </c>
      <c r="J10" s="14">
        <f t="shared" si="1"/>
        <v>4.1666666666666664E-2</v>
      </c>
      <c r="K10">
        <f t="shared" si="2"/>
        <v>1</v>
      </c>
      <c r="L10">
        <f t="shared" si="3"/>
        <v>0</v>
      </c>
      <c r="M10" s="17">
        <f>((K10*'Lista de Precios'!$C$5)+(L10*'Lista de Precios'!$E$5))*G10</f>
        <v>1700</v>
      </c>
      <c r="N10" s="20" t="str">
        <f>IF(C10&gt;0.75,((K10*'Lista de Precios'!$D$5)+(L10*'Lista de Precios'!$F$5))*G10,"0")</f>
        <v>0</v>
      </c>
      <c r="O10" s="19">
        <f>IF(INGRESOS!E10='Lista de Precios'!$C$6,'Lista de Precios'!$C$7,IF(E10='Lista de Precios'!$D$6,'Lista de Precios'!$D$7,IF(E10='Lista de Precios'!$E$6,'Lista de Precios'!$E$7,IF(E10='Lista de Precios'!$F$6,'Lista de Precios'!$F$7,0))))*G10</f>
        <v>2040</v>
      </c>
      <c r="P10" s="19">
        <f>IF(F10='Lista de Precios'!$C$8,'Lista de Precios'!$C$9,IF(F10='Lista de Precios'!$D$8,'Lista de Precios'!$D$9,IF(F10='Lista de Precios'!$E$8,'Lista de Precios'!$E$9,IF(F10='Lista de Precios'!$F$8,'Lista de Precios'!$F$9,IF(F10='Lista de Precios'!$G$8,'Lista de Precios'!$G$9,0)))))*G10</f>
        <v>1870</v>
      </c>
      <c r="Q10" s="31">
        <f>IF(G10&lt;=10,'Lista de Precios'!$C$11,IF(INGRESOS!G10&lt;=15,'Lista de Precios'!$D$11,'Lista de Precios'!$E$11))</f>
        <v>15</v>
      </c>
      <c r="R10" s="17">
        <f t="shared" si="4"/>
        <v>841.5</v>
      </c>
    </row>
    <row r="11" spans="2:18" x14ac:dyDescent="0.3">
      <c r="B11" s="8" t="s">
        <v>28</v>
      </c>
      <c r="C11" s="7">
        <v>0.72222222222222221</v>
      </c>
      <c r="D11" s="6">
        <v>0.73819444444444449</v>
      </c>
      <c r="E11" s="47" t="s">
        <v>6</v>
      </c>
      <c r="F11" s="47" t="s">
        <v>6</v>
      </c>
      <c r="G11" s="5">
        <v>10</v>
      </c>
      <c r="I11" s="14">
        <f t="shared" si="0"/>
        <v>1.5972222222222276E-2</v>
      </c>
      <c r="J11" s="14">
        <f t="shared" si="1"/>
        <v>4.1666666666666664E-2</v>
      </c>
      <c r="K11">
        <f t="shared" si="2"/>
        <v>1</v>
      </c>
      <c r="L11">
        <f t="shared" si="3"/>
        <v>0</v>
      </c>
      <c r="M11" s="17">
        <f>((K11*'Lista de Precios'!$C$5)+(L11*'Lista de Precios'!$E$5))*G11</f>
        <v>1000</v>
      </c>
      <c r="N11" s="20" t="str">
        <f>IF(C11&gt;0.75,((K11*'Lista de Precios'!$D$5)+(L11*'Lista de Precios'!$F$5))*G11,"0")</f>
        <v>0</v>
      </c>
      <c r="O11" s="19">
        <f>IF(INGRESOS!E11='Lista de Precios'!$C$6,'Lista de Precios'!$C$7,IF(E11='Lista de Precios'!$D$6,'Lista de Precios'!$D$7,IF(E11='Lista de Precios'!$E$6,'Lista de Precios'!$E$7,IF(E11='Lista de Precios'!$F$6,'Lista de Precios'!$F$7,0))))*G11</f>
        <v>300</v>
      </c>
      <c r="P11" s="19">
        <f>IF(F11='Lista de Precios'!$C$8,'Lista de Precios'!$C$9,IF(F11='Lista de Precios'!$D$8,'Lista de Precios'!$D$9,IF(F11='Lista de Precios'!$E$8,'Lista de Precios'!$E$9,IF(F11='Lista de Precios'!$F$8,'Lista de Precios'!$F$9,IF(F11='Lista de Precios'!$G$8,'Lista de Precios'!$G$9,0)))))*G11</f>
        <v>1100</v>
      </c>
      <c r="Q11" s="31">
        <f>IF(G11&lt;=10,'Lista de Precios'!$C$11,IF(INGRESOS!G11&lt;=15,'Lista de Precios'!$D$11,'Lista de Precios'!$E$11))</f>
        <v>0</v>
      </c>
      <c r="R11" s="17">
        <f t="shared" si="4"/>
        <v>0</v>
      </c>
    </row>
    <row r="12" spans="2:18" x14ac:dyDescent="0.3">
      <c r="B12" s="8" t="s">
        <v>27</v>
      </c>
      <c r="C12" s="7">
        <v>0.80555555555555558</v>
      </c>
      <c r="D12" s="6">
        <v>0.86944444444444446</v>
      </c>
      <c r="E12" s="47" t="s">
        <v>6</v>
      </c>
      <c r="F12" s="47" t="s">
        <v>5</v>
      </c>
      <c r="G12" s="5">
        <v>10</v>
      </c>
      <c r="I12" s="14">
        <f t="shared" si="0"/>
        <v>6.3888888888888884E-2</v>
      </c>
      <c r="J12" s="14">
        <f t="shared" si="1"/>
        <v>6.9444444444444448E-2</v>
      </c>
      <c r="K12">
        <f t="shared" si="2"/>
        <v>1</v>
      </c>
      <c r="L12">
        <f t="shared" si="3"/>
        <v>4</v>
      </c>
      <c r="M12" s="17">
        <f>((K12*'Lista de Precios'!$C$5)+(L12*'Lista de Precios'!$E$5))*G12</f>
        <v>1800</v>
      </c>
      <c r="N12" s="20">
        <f>IF(C12&gt;0.75,((K12*'Lista de Precios'!$D$5)+(L12*'Lista de Precios'!$F$5))*G12,"0")</f>
        <v>140</v>
      </c>
      <c r="O12" s="19">
        <f>IF(INGRESOS!E12='Lista de Precios'!$C$6,'Lista de Precios'!$C$7,IF(E12='Lista de Precios'!$D$6,'Lista de Precios'!$D$7,IF(E12='Lista de Precios'!$E$6,'Lista de Precios'!$E$7,IF(E12='Lista de Precios'!$F$6,'Lista de Precios'!$F$7,0))))*G12</f>
        <v>300</v>
      </c>
      <c r="P12" s="19">
        <f>IF(F12='Lista de Precios'!$C$8,'Lista de Precios'!$C$9,IF(F12='Lista de Precios'!$D$8,'Lista de Precios'!$D$9,IF(F12='Lista de Precios'!$E$8,'Lista de Precios'!$E$9,IF(F12='Lista de Precios'!$F$8,'Lista de Precios'!$F$9,IF(F12='Lista de Precios'!$G$8,'Lista de Precios'!$G$9,0)))))*G12</f>
        <v>0</v>
      </c>
      <c r="Q12" s="31">
        <f>IF(G12&lt;=10,'Lista de Precios'!$C$11,IF(INGRESOS!G12&lt;=15,'Lista de Precios'!$D$11,'Lista de Precios'!$E$11))</f>
        <v>0</v>
      </c>
      <c r="R12" s="17">
        <f t="shared" si="4"/>
        <v>0</v>
      </c>
    </row>
    <row r="13" spans="2:18" x14ac:dyDescent="0.3">
      <c r="B13" s="8" t="s">
        <v>26</v>
      </c>
      <c r="C13" s="7">
        <v>0.88541666666666663</v>
      </c>
      <c r="D13" s="6">
        <v>0.92847222222222225</v>
      </c>
      <c r="E13" s="47" t="s">
        <v>5</v>
      </c>
      <c r="F13" s="47" t="s">
        <v>10</v>
      </c>
      <c r="G13" s="5">
        <v>19</v>
      </c>
      <c r="I13" s="14">
        <f t="shared" si="0"/>
        <v>4.3055555555555625E-2</v>
      </c>
      <c r="J13" s="14">
        <f t="shared" si="1"/>
        <v>4.8611111111111105E-2</v>
      </c>
      <c r="K13">
        <f t="shared" si="2"/>
        <v>1</v>
      </c>
      <c r="L13">
        <f t="shared" si="3"/>
        <v>1</v>
      </c>
      <c r="M13" s="17">
        <f>((K13*'Lista de Precios'!$C$5)+(L13*'Lista de Precios'!$E$5))*G13</f>
        <v>2280</v>
      </c>
      <c r="N13" s="20">
        <f>IF(C13&gt;0.75,((K13*'Lista de Precios'!$D$5)+(L13*'Lista de Precios'!$F$5))*G13,"0")</f>
        <v>180.5</v>
      </c>
      <c r="O13" s="19">
        <f>IF(INGRESOS!E13='Lista de Precios'!$C$6,'Lista de Precios'!$C$7,IF(E13='Lista de Precios'!$D$6,'Lista de Precios'!$D$7,IF(E13='Lista de Precios'!$E$6,'Lista de Precios'!$E$7,IF(E13='Lista de Precios'!$F$6,'Lista de Precios'!$F$7,0))))*G13</f>
        <v>0</v>
      </c>
      <c r="P13" s="19">
        <f>IF(F13='Lista de Precios'!$C$8,'Lista de Precios'!$C$9,IF(F13='Lista de Precios'!$D$8,'Lista de Precios'!$D$9,IF(F13='Lista de Precios'!$E$8,'Lista de Precios'!$E$9,IF(F13='Lista de Precios'!$F$8,'Lista de Precios'!$F$9,IF(F13='Lista de Precios'!$G$8,'Lista de Precios'!$G$9,0)))))*G13</f>
        <v>1710</v>
      </c>
      <c r="Q13" s="31">
        <f>IF(G13&lt;=10,'Lista de Precios'!$C$11,IF(INGRESOS!G13&lt;=15,'Lista de Precios'!$D$11,'Lista de Precios'!$E$11))</f>
        <v>15</v>
      </c>
      <c r="R13" s="17">
        <f t="shared" si="4"/>
        <v>625.57500000000005</v>
      </c>
    </row>
    <row r="14" spans="2:18" x14ac:dyDescent="0.3">
      <c r="I14" s="24">
        <f>SUM(I7:I13)</f>
        <v>0.34930555555555565</v>
      </c>
      <c r="J14" s="24">
        <f>SUM(J7:J13)</f>
        <v>0.39583333333333331</v>
      </c>
      <c r="K14" s="25">
        <f>SUM(K7:K13)</f>
        <v>8</v>
      </c>
      <c r="L14" s="25">
        <f>SUM(L7:L13)</f>
        <v>9</v>
      </c>
      <c r="M14" s="26">
        <f>SUM(M7:M13)</f>
        <v>19800</v>
      </c>
      <c r="N14" s="27">
        <f>SUM(N12:N13)</f>
        <v>320.5</v>
      </c>
      <c r="O14" s="28">
        <f>SUM(O7:O13)</f>
        <v>4890</v>
      </c>
      <c r="P14" s="28">
        <f>SUM(P7:P13)</f>
        <v>10790</v>
      </c>
      <c r="Q14" s="32"/>
      <c r="R14" s="26">
        <f>SUM(R7:R13)</f>
        <v>4674.0749999999998</v>
      </c>
    </row>
    <row r="15" spans="2:18" x14ac:dyDescent="0.3">
      <c r="B15" s="38" t="s">
        <v>25</v>
      </c>
      <c r="C15" s="38"/>
      <c r="D15" s="38"/>
      <c r="E15" s="38"/>
      <c r="F15" s="38"/>
      <c r="G15" s="38"/>
      <c r="J15" s="14"/>
    </row>
    <row r="16" spans="2:18" x14ac:dyDescent="0.3">
      <c r="B16" s="39"/>
      <c r="C16" s="39"/>
      <c r="D16" s="39"/>
      <c r="E16" s="39"/>
      <c r="F16" s="39"/>
      <c r="G16" s="39"/>
      <c r="J16" s="15"/>
    </row>
    <row r="17" spans="2:15" x14ac:dyDescent="0.3">
      <c r="B17" s="39"/>
      <c r="C17" s="39"/>
      <c r="D17" s="39"/>
      <c r="E17" s="39"/>
      <c r="F17" s="39"/>
      <c r="G17" s="39"/>
      <c r="I17" s="45" t="s">
        <v>71</v>
      </c>
      <c r="J17" s="44" t="b">
        <v>1</v>
      </c>
      <c r="O17" s="29"/>
    </row>
    <row r="18" spans="2:15" x14ac:dyDescent="0.3">
      <c r="B18" s="37"/>
      <c r="C18" s="37"/>
      <c r="D18" s="37"/>
      <c r="E18" s="48" t="s">
        <v>76</v>
      </c>
      <c r="F18" s="48"/>
      <c r="G18" s="48"/>
      <c r="I18" s="45" t="s">
        <v>72</v>
      </c>
      <c r="J18" s="44" t="b">
        <v>1</v>
      </c>
    </row>
    <row r="19" spans="2:15" x14ac:dyDescent="0.3">
      <c r="B19" s="37"/>
      <c r="C19" s="37"/>
      <c r="D19" s="37"/>
      <c r="E19" s="48"/>
      <c r="F19" s="48"/>
      <c r="G19" s="48"/>
      <c r="I19" s="45" t="s">
        <v>73</v>
      </c>
      <c r="J19" s="44" t="b">
        <v>1</v>
      </c>
    </row>
    <row r="20" spans="2:15" x14ac:dyDescent="0.3">
      <c r="B20" s="37"/>
      <c r="C20" s="37"/>
      <c r="D20" s="37"/>
      <c r="E20" s="48"/>
      <c r="F20" s="48"/>
      <c r="G20" s="48"/>
      <c r="I20" s="45" t="s">
        <v>74</v>
      </c>
      <c r="J20" s="44" t="b">
        <v>1</v>
      </c>
    </row>
    <row r="21" spans="2:15" x14ac:dyDescent="0.3">
      <c r="B21" s="37"/>
      <c r="C21" s="37"/>
      <c r="D21" s="37"/>
      <c r="E21" s="48"/>
      <c r="F21" s="48"/>
      <c r="G21" s="48"/>
      <c r="I21" s="45" t="s">
        <v>75</v>
      </c>
      <c r="J21" s="46">
        <v>2</v>
      </c>
    </row>
    <row r="22" spans="2:15" x14ac:dyDescent="0.3">
      <c r="B22" s="37"/>
      <c r="C22" s="37"/>
      <c r="D22" s="37"/>
      <c r="E22" s="48"/>
      <c r="F22" s="48"/>
      <c r="G22" s="48"/>
      <c r="I22" s="45" t="s">
        <v>23</v>
      </c>
      <c r="J22" s="46">
        <f>IF(WEEKDAY(C3)=1,3,J21)</f>
        <v>2</v>
      </c>
    </row>
    <row r="23" spans="2:15" x14ac:dyDescent="0.3"/>
    <row r="24" spans="2:15" x14ac:dyDescent="0.3"/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3AE153CD-BCEC-46EF-B626-3AD1E9D2F409}">
      <formula1>TODAY()</formula1>
    </dataValidation>
    <dataValidation type="time" allowBlank="1" showInputMessage="1" showErrorMessage="1" sqref="C7" xr:uid="{C6CAF6C8-263E-4393-B90D-354122C76AA9}">
      <formula1>0.375</formula1>
      <formula2>0.916666666666667</formula2>
    </dataValidation>
    <dataValidation type="time" allowBlank="1" showInputMessage="1" showErrorMessage="1" sqref="D7:D13" xr:uid="{B1941683-690E-477A-BF1B-CFD98D174375}">
      <formula1>C7</formula1>
      <formula2>0.958333333333333</formula2>
    </dataValidation>
    <dataValidation type="time" allowBlank="1" showInputMessage="1" showErrorMessage="1" sqref="C8:C13" xr:uid="{A271F2A7-C516-4CF2-8E68-5F4B231F7928}">
      <formula1>D7</formula1>
      <formula2>0.958333333333333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3" name="Check Box 5">
              <controlPr defaultSize="0" autoFill="0" autoLine="0" autoPict="0">
                <anchor moveWithCells="1">
                  <from>
                    <xdr:col>1</xdr:col>
                    <xdr:colOff>68580</xdr:colOff>
                    <xdr:row>15</xdr:row>
                    <xdr:rowOff>68580</xdr:rowOff>
                  </from>
                  <to>
                    <xdr:col>2</xdr:col>
                    <xdr:colOff>114300</xdr:colOff>
                    <xdr:row>16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2</xdr:col>
                    <xdr:colOff>426720</xdr:colOff>
                    <xdr:row>15</xdr:row>
                    <xdr:rowOff>68580</xdr:rowOff>
                  </from>
                  <to>
                    <xdr:col>3</xdr:col>
                    <xdr:colOff>472440</xdr:colOff>
                    <xdr:row>16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>
                  <from>
                    <xdr:col>4</xdr:col>
                    <xdr:colOff>15240</xdr:colOff>
                    <xdr:row>15</xdr:row>
                    <xdr:rowOff>68580</xdr:rowOff>
                  </from>
                  <to>
                    <xdr:col>5</xdr:col>
                    <xdr:colOff>60960</xdr:colOff>
                    <xdr:row>16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5</xdr:col>
                    <xdr:colOff>403860</xdr:colOff>
                    <xdr:row>15</xdr:row>
                    <xdr:rowOff>68580</xdr:rowOff>
                  </from>
                  <to>
                    <xdr:col>6</xdr:col>
                    <xdr:colOff>449580</xdr:colOff>
                    <xdr:row>16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Group Box 9">
              <controlPr defaultSize="0" autoFill="0" autoPict="0">
                <anchor moveWithCells="1">
                  <from>
                    <xdr:col>1</xdr:col>
                    <xdr:colOff>60960</xdr:colOff>
                    <xdr:row>17</xdr:row>
                    <xdr:rowOff>53340</xdr:rowOff>
                  </from>
                  <to>
                    <xdr:col>3</xdr:col>
                    <xdr:colOff>754380</xdr:colOff>
                    <xdr:row>21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Option Button 10">
              <controlPr defaultSize="0" autoFill="0" autoLine="0" autoPict="0">
                <anchor moveWithCells="1">
                  <from>
                    <xdr:col>1</xdr:col>
                    <xdr:colOff>213360</xdr:colOff>
                    <xdr:row>18</xdr:row>
                    <xdr:rowOff>30480</xdr:rowOff>
                  </from>
                  <to>
                    <xdr:col>2</xdr:col>
                    <xdr:colOff>510540</xdr:colOff>
                    <xdr:row>19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Option Button 11">
              <controlPr defaultSize="0" autoFill="0" autoLine="0" autoPict="0">
                <anchor moveWithCells="1">
                  <from>
                    <xdr:col>1</xdr:col>
                    <xdr:colOff>213360</xdr:colOff>
                    <xdr:row>20</xdr:row>
                    <xdr:rowOff>30480</xdr:rowOff>
                  </from>
                  <to>
                    <xdr:col>2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516CC9-E3B0-4C3E-BCC0-31A2DF59F6C2}">
          <x14:formula1>
            <xm:f>'Lista de Precios'!$C$6:$F$6</xm:f>
          </x14:formula1>
          <xm:sqref>E7:E13</xm:sqref>
        </x14:dataValidation>
        <x14:dataValidation type="list" allowBlank="1" showInputMessage="1" showErrorMessage="1" xr:uid="{08114277-DFBE-4DCD-8361-36E3C2340275}">
          <x14:formula1>
            <xm:f>'Lista de Precios'!$C$8:$G$8</xm:f>
          </x14:formula1>
          <xm:sqref>F7:F13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D22" sqref="D22"/>
    </sheetView>
  </sheetViews>
  <sheetFormatPr baseColWidth="10" defaultRowHeight="14.4" x14ac:dyDescent="0.3"/>
  <cols>
    <col min="2" max="2" width="24.6640625" customWidth="1"/>
  </cols>
  <sheetData>
    <row r="2" spans="2:7" ht="23.4" x14ac:dyDescent="0.45">
      <c r="B2" s="42" t="s">
        <v>0</v>
      </c>
      <c r="C2" s="42"/>
      <c r="D2" s="42"/>
    </row>
    <row r="4" spans="2:7" x14ac:dyDescent="0.3">
      <c r="B4" s="41" t="s">
        <v>1</v>
      </c>
      <c r="C4" s="1" t="s">
        <v>2</v>
      </c>
      <c r="D4" s="1" t="s">
        <v>3</v>
      </c>
      <c r="E4" s="1" t="s">
        <v>62</v>
      </c>
      <c r="F4" s="1" t="s">
        <v>67</v>
      </c>
    </row>
    <row r="5" spans="2:7" x14ac:dyDescent="0.3">
      <c r="B5" s="41"/>
      <c r="C5" s="2">
        <v>100</v>
      </c>
      <c r="D5" s="2">
        <v>8</v>
      </c>
      <c r="E5" s="16">
        <v>20</v>
      </c>
      <c r="F5" s="16">
        <v>1.5</v>
      </c>
    </row>
    <row r="6" spans="2:7" x14ac:dyDescent="0.3">
      <c r="B6" s="4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3">
      <c r="B7" s="41"/>
      <c r="C7" s="2">
        <v>0</v>
      </c>
      <c r="D7" s="2">
        <v>30</v>
      </c>
      <c r="E7" s="2">
        <v>60</v>
      </c>
      <c r="F7" s="2">
        <v>120</v>
      </c>
    </row>
    <row r="8" spans="2:7" x14ac:dyDescent="0.3">
      <c r="B8" s="41" t="s">
        <v>9</v>
      </c>
      <c r="C8" s="1" t="s">
        <v>5</v>
      </c>
      <c r="D8" s="1" t="s">
        <v>10</v>
      </c>
      <c r="E8" s="1" t="s">
        <v>6</v>
      </c>
      <c r="F8" s="1" t="s">
        <v>11</v>
      </c>
      <c r="G8" s="1" t="s">
        <v>12</v>
      </c>
    </row>
    <row r="9" spans="2:7" x14ac:dyDescent="0.3">
      <c r="B9" s="41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3">
      <c r="B10" s="41" t="s">
        <v>13</v>
      </c>
      <c r="C10" s="1" t="s">
        <v>14</v>
      </c>
      <c r="D10" s="1" t="s">
        <v>15</v>
      </c>
      <c r="E10" s="1" t="s">
        <v>16</v>
      </c>
    </row>
    <row r="11" spans="2:7" x14ac:dyDescent="0.3">
      <c r="B11" s="41"/>
      <c r="C11" s="23">
        <v>0</v>
      </c>
      <c r="D11" s="23">
        <v>10</v>
      </c>
      <c r="E11" s="23">
        <v>15</v>
      </c>
    </row>
    <row r="13" spans="2:7" ht="23.4" x14ac:dyDescent="0.45">
      <c r="B13" s="43" t="s">
        <v>17</v>
      </c>
      <c r="C13" s="43"/>
      <c r="D13" s="43"/>
    </row>
    <row r="15" spans="2:7" x14ac:dyDescent="0.3">
      <c r="B15" s="3" t="s">
        <v>18</v>
      </c>
      <c r="C15" s="2">
        <v>160</v>
      </c>
    </row>
    <row r="16" spans="2:7" x14ac:dyDescent="0.3">
      <c r="B16" s="3" t="s">
        <v>19</v>
      </c>
      <c r="C16" s="2">
        <v>300</v>
      </c>
    </row>
    <row r="17" spans="2:5" x14ac:dyDescent="0.3">
      <c r="B17" s="3" t="s">
        <v>20</v>
      </c>
      <c r="C17" s="2">
        <v>100</v>
      </c>
    </row>
    <row r="18" spans="2:5" x14ac:dyDescent="0.3">
      <c r="B18" s="3" t="s">
        <v>21</v>
      </c>
      <c r="C18" s="2">
        <v>70</v>
      </c>
    </row>
    <row r="20" spans="2:5" x14ac:dyDescent="0.3">
      <c r="B20" s="40" t="s">
        <v>13</v>
      </c>
      <c r="C20" s="4" t="s">
        <v>22</v>
      </c>
      <c r="D20" s="4" t="s">
        <v>23</v>
      </c>
      <c r="E20" s="4" t="s">
        <v>24</v>
      </c>
    </row>
    <row r="21" spans="2:5" x14ac:dyDescent="0.3">
      <c r="B21" s="40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INGRESOS</vt:lpstr>
      <vt:lpstr>Lista de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ELVIS Herrera</cp:lastModifiedBy>
  <dcterms:created xsi:type="dcterms:W3CDTF">2020-07-02T17:13:41Z</dcterms:created>
  <dcterms:modified xsi:type="dcterms:W3CDTF">2026-04-14T04:14:40Z</dcterms:modified>
</cp:coreProperties>
</file>